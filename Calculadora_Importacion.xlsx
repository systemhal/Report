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rametros y Tarifas" sheetId="1" state="visible" r:id="rId1"/>
    <sheet xmlns:r="http://schemas.openxmlformats.org/officeDocument/2006/relationships" name="2. Calculadora Individual" sheetId="2" state="visible" r:id="rId2"/>
    <sheet xmlns:r="http://schemas.openxmlformats.org/officeDocument/2006/relationships" name="3. Prorrateo Multi-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S/ #,##0.00"/>
    <numFmt numFmtId="166" formatCode="$#,##0.00"/>
    <numFmt numFmtId="167" formatCode="#,##0.00&quot; kg&quot;"/>
    <numFmt numFmtId="168" formatCode="#,##0.00&quot; CBM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C00000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i val="1"/>
      <color rgb="00595959"/>
      <sz val="9"/>
    </font>
    <font>
      <name val="Segoe U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9EBEA"/>
        <bgColor rgb="00F9EBE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AFAFA"/>
        <bgColor rgb="00FAFAFA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66" fontId="4" fillId="5" borderId="2" applyAlignment="1" pivotButton="0" quotePrefix="0" xfId="0">
      <alignment horizontal="right" vertical="center"/>
    </xf>
    <xf numFmtId="0" fontId="5" fillId="0" borderId="2" pivotButton="0" quotePrefix="0" xfId="0"/>
    <xf numFmtId="49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168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6" fontId="3" fillId="8" borderId="1" pivotButton="0" quotePrefix="0" xfId="0"/>
    <xf numFmtId="167" fontId="3" fillId="8" borderId="1" pivotButton="0" quotePrefix="0" xfId="0"/>
    <xf numFmtId="168" fontId="3" fillId="8" borderId="1" pivotButton="0" quotePrefix="0" xfId="0"/>
    <xf numFmtId="166" fontId="3" fillId="6" borderId="1" pivotButton="0" quotePrefix="0" xfId="0"/>
    <xf numFmtId="165" fontId="3" fillId="6" borderId="1" pivotButton="0" quotePrefix="0" xfId="0"/>
    <xf numFmtId="0" fontId="3" fillId="0" borderId="1" applyAlignment="1" pivotButton="0" quotePrefix="0" xfId="0">
      <alignment horizontal="center" vertical="center"/>
    </xf>
    <xf numFmtId="166" fontId="3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166" fontId="0" fillId="8" borderId="1" applyAlignment="1" pivotButton="0" quotePrefix="0" xfId="0">
      <alignment horizontal="right" vertical="center"/>
    </xf>
    <xf numFmtId="167" fontId="0" fillId="8" borderId="1" applyAlignment="1" pivotButton="0" quotePrefix="0" xfId="0">
      <alignment horizontal="right" vertical="center"/>
    </xf>
    <xf numFmtId="168" fontId="0" fillId="8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5" borderId="3" pivotButton="0" quotePrefix="0" xfId="0"/>
    <xf numFmtId="3" fontId="4" fillId="5" borderId="3" applyAlignment="1" pivotButton="0" quotePrefix="0" xfId="0">
      <alignment horizontal="right" vertical="center"/>
    </xf>
    <xf numFmtId="166" fontId="4" fillId="5" borderId="3" applyAlignment="1" pivotButton="0" quotePrefix="0" xfId="0">
      <alignment horizontal="right" vertical="center"/>
    </xf>
    <xf numFmtId="167" fontId="4" fillId="5" borderId="3" applyAlignment="1" pivotButton="0" quotePrefix="0" xfId="0">
      <alignment horizontal="right" vertical="center"/>
    </xf>
    <xf numFmtId="168" fontId="4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</cols>
  <sheetData>
    <row r="1" ht="40" customHeight="1">
      <c r="A1" s="1" t="inlineStr">
        <is>
          <t>CONFIGURACIÓN DE PARÁMETROS - IMPORTACIONES PERÚ</t>
        </is>
      </c>
    </row>
    <row r="3" ht="24" customHeight="1">
      <c r="A3" s="2" t="inlineStr">
        <is>
          <t>1. IMPUESTOS ADUANEROS (SUNAT)</t>
        </is>
      </c>
    </row>
    <row r="4" ht="20" customHeight="1">
      <c r="A4" s="3" t="inlineStr">
        <is>
          <t>Tasa IGV (Impuesto General a las Ventas)</t>
        </is>
      </c>
      <c r="B4" s="4" t="n">
        <v>0.16</v>
      </c>
      <c r="C4" s="5" t="inlineStr">
        <is>
          <t>Crédito fiscal (tasa estándar 16%)</t>
        </is>
      </c>
    </row>
    <row r="5" ht="20" customHeight="1">
      <c r="A5" s="3" t="inlineStr">
        <is>
          <t>Tasa IPM (Impuesto Promoción Municipal)</t>
        </is>
      </c>
      <c r="B5" s="4" t="n">
        <v>0.02</v>
      </c>
      <c r="C5" s="5" t="inlineStr">
        <is>
          <t>Crédito fiscal (tasa estándar 2%)</t>
        </is>
      </c>
    </row>
    <row r="6" ht="20" customHeight="1">
      <c r="A6" s="3" t="inlineStr">
        <is>
          <t>IGV + IPM Total (Base para importaciones)</t>
        </is>
      </c>
      <c r="B6" s="6">
        <f>B4+B5</f>
        <v/>
      </c>
      <c r="C6" s="5" t="inlineStr">
        <is>
          <t>Suma total de impuestos a las ventas (18%)</t>
        </is>
      </c>
    </row>
    <row r="7" ht="20" customHeight="1">
      <c r="A7" s="3" t="inlineStr">
        <is>
          <t>Percepción IGV (Primera Importación)</t>
        </is>
      </c>
      <c r="B7" s="4" t="n">
        <v>0.1</v>
      </c>
      <c r="C7" s="5" t="inlineStr">
        <is>
          <t>Aplicable en la primera DUA/DAM del importador</t>
        </is>
      </c>
    </row>
    <row r="8" ht="20" customHeight="1">
      <c r="A8" s="3" t="inlineStr">
        <is>
          <t>Percepción IGV (Importador Frecuente)</t>
        </is>
      </c>
      <c r="B8" s="4" t="n">
        <v>0.035</v>
      </c>
      <c r="C8" s="5" t="inlineStr">
        <is>
          <t>Aplicable para importaciones habituales (defecto)</t>
        </is>
      </c>
    </row>
    <row r="9" ht="20" customHeight="1">
      <c r="A9" s="3" t="inlineStr">
        <is>
          <t>Percepción IGV (Bienes Usados)</t>
        </is>
      </c>
      <c r="B9" s="4" t="n">
        <v>0.05</v>
      </c>
      <c r="C9" s="5" t="inlineStr">
        <is>
          <t>Aplicable para la importación de mercancías usadas</t>
        </is>
      </c>
    </row>
    <row r="10" ht="20" customHeight="1">
      <c r="A10" s="3" t="inlineStr">
        <is>
          <t>Tipo de Cambio Oficial (S/ por USD)</t>
        </is>
      </c>
      <c r="B10" s="7" t="n">
        <v>3.78</v>
      </c>
      <c r="C10" s="5" t="inlineStr">
        <is>
          <t>Tasa de cambio comercial promedio (editable)</t>
        </is>
      </c>
    </row>
    <row r="12" ht="24" customHeight="1">
      <c r="A12" s="2" t="inlineStr">
        <is>
          <t>2. GASTOS LOCALES DE DESPACHO (USD)</t>
        </is>
      </c>
    </row>
    <row r="13" ht="20" customHeight="1">
      <c r="A13" s="3" t="inlineStr">
        <is>
          <t>Comisión Agente de Aduanas (%)</t>
        </is>
      </c>
      <c r="B13" s="4" t="n">
        <v>0.005</v>
      </c>
      <c r="C13" s="5" t="inlineStr">
        <is>
          <t>Porcentaje sobre el valor CIF de la importación</t>
        </is>
      </c>
    </row>
    <row r="14" ht="20" customHeight="1">
      <c r="A14" s="3" t="inlineStr">
        <is>
          <t>Tarifa Mínima Agente de Aduanas (USD)</t>
        </is>
      </c>
      <c r="B14" s="8" t="n">
        <v>200</v>
      </c>
      <c r="C14" s="5" t="inlineStr">
        <is>
          <t>Cobro mínimo si la comisión por % es menor</t>
        </is>
      </c>
    </row>
    <row r="15" ht="20" customHeight="1">
      <c r="A15" s="3" t="inlineStr">
        <is>
          <t>Gastos Portuarios / Desconsolidación</t>
        </is>
      </c>
      <c r="B15" s="8" t="n">
        <v>180</v>
      </c>
      <c r="C15" s="5" t="inlineStr">
        <is>
          <t>Gastos de descarga y desconsolidación de contenedor</t>
        </is>
      </c>
    </row>
    <row r="16" ht="20" customHeight="1">
      <c r="A16" s="3" t="inlineStr">
        <is>
          <t>Almacenaje Aduanero (Depósito Temporal)</t>
        </is>
      </c>
      <c r="B16" s="8" t="n">
        <v>150</v>
      </c>
      <c r="C16" s="5" t="inlineStr">
        <is>
          <t>Almacén temporal autorizado de aduanas</t>
        </is>
      </c>
    </row>
    <row r="17" ht="20" customHeight="1">
      <c r="A17" s="3" t="inlineStr">
        <is>
          <t>Flete Local (Transporte Terrestre Interno)</t>
        </is>
      </c>
      <c r="B17" s="8" t="n">
        <v>220</v>
      </c>
      <c r="C17" s="5" t="inlineStr">
        <is>
          <t>Traslado de aduana/puerto al almacén del cliente</t>
        </is>
      </c>
    </row>
    <row r="18" ht="20" customHeight="1">
      <c r="A18" s="3" t="inlineStr">
        <is>
          <t>Gastos Bancarios (SWIFT / Transferencias)</t>
        </is>
      </c>
      <c r="B18" s="8" t="n">
        <v>45</v>
      </c>
      <c r="C18" s="5" t="inlineStr">
        <is>
          <t>Gastos de transferencia internacional al proveedor</t>
        </is>
      </c>
    </row>
    <row r="19" ht="20" customHeight="1">
      <c r="A19" s="3" t="inlineStr">
        <is>
          <t>Gastos Administrativos / Logísticos Varios</t>
        </is>
      </c>
      <c r="B19" s="8" t="n">
        <v>80</v>
      </c>
      <c r="C19" s="5" t="inlineStr">
        <is>
          <t>Gastos operativos, copias, mensajería, etc.</t>
        </is>
      </c>
    </row>
    <row r="20" ht="20" customHeight="1">
      <c r="A20" s="9" t="inlineStr">
        <is>
          <t>Total Gastos Locales Fijos</t>
        </is>
      </c>
      <c r="B20" s="10">
        <f>SUM(B15:B19)</f>
        <v/>
      </c>
      <c r="C20" s="11" t="inlineStr">
        <is>
          <t>Suma de gastos portuarios, flete interno, almacén y varios</t>
        </is>
      </c>
    </row>
    <row r="22" ht="24" customHeight="1">
      <c r="A22" s="2" t="inlineStr">
        <is>
          <t>3. FLETES Y SEGUROS DE REFERENCIA (USD)</t>
        </is>
      </c>
    </row>
    <row r="23" ht="20" customHeight="1">
      <c r="A23" s="3" t="inlineStr">
        <is>
          <t>Flete Marítimo por CBM (LCL)</t>
        </is>
      </c>
      <c r="B23" s="8" t="n">
        <v>110</v>
      </c>
      <c r="C23" s="5" t="inlineStr">
        <is>
          <t>Costo promedio de flete por metro cúbico</t>
        </is>
      </c>
    </row>
    <row r="24" ht="20" customHeight="1">
      <c r="A24" s="3" t="inlineStr">
        <is>
          <t>Flete Marítimo por Tonelada LCL</t>
        </is>
      </c>
      <c r="B24" s="8" t="n">
        <v>130</v>
      </c>
      <c r="C24" s="5" t="inlineStr">
        <is>
          <t>Costo promedio de flete por 1000 kg</t>
        </is>
      </c>
    </row>
    <row r="25" ht="20" customHeight="1">
      <c r="A25" s="3" t="inlineStr">
        <is>
          <t>Flete Aéreo por Kilogramo</t>
        </is>
      </c>
      <c r="B25" s="8" t="n">
        <v>4.8</v>
      </c>
      <c r="C25" s="5" t="inlineStr">
        <is>
          <t>Tarifa de flete aéreo internacional por kg</t>
        </is>
      </c>
    </row>
    <row r="26" ht="20" customHeight="1">
      <c r="A26" s="3" t="inlineStr">
        <is>
          <t>Seguro Estimado de Aduana (%)</t>
        </is>
      </c>
      <c r="B26" s="4" t="n">
        <v>0.015</v>
      </c>
      <c r="C26" s="5" t="inlineStr">
        <is>
          <t>1.5% del valor FOB + Flete (fórmula de tabla SUNAT)</t>
        </is>
      </c>
    </row>
  </sheetData>
  <mergeCells count="4">
    <mergeCell ref="A1:C1"/>
    <mergeCell ref="A3:C3"/>
    <mergeCell ref="A12:C12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</cols>
  <sheetData>
    <row r="1" ht="40" customHeight="1">
      <c r="A1" s="1" t="inlineStr">
        <is>
          <t>CALCULADORA DE IMPORTACIÓN INDIVIDUAL</t>
        </is>
      </c>
    </row>
    <row r="3" ht="24" customHeight="1">
      <c r="A3" s="2" t="inlineStr">
        <is>
          <t>DATOS DE LA MERCANCÍA Y EMBARQUE</t>
        </is>
      </c>
    </row>
    <row r="4" ht="20" customHeight="1">
      <c r="A4" s="3" t="inlineStr">
        <is>
          <t>Nombre del Producto</t>
        </is>
      </c>
      <c r="B4" s="12" t="inlineStr">
        <is>
          <t>Audífonos Bluetooth Premium</t>
        </is>
      </c>
      <c r="C4" s="5" t="inlineStr">
        <is>
          <t>Identificador comercial</t>
        </is>
      </c>
    </row>
    <row r="5" ht="20" customHeight="1">
      <c r="A5" s="3" t="inlineStr">
        <is>
          <t>Precio FOB Total (USD)</t>
        </is>
      </c>
      <c r="B5" s="8" t="n">
        <v>3500</v>
      </c>
      <c r="C5" s="5" t="inlineStr">
        <is>
          <t>Valor de la mercancía en puerto de origen</t>
        </is>
      </c>
    </row>
    <row r="6" ht="20" customHeight="1">
      <c r="A6" s="3" t="inlineStr">
        <is>
          <t>Cantidad de Unidades (Uds)</t>
        </is>
      </c>
      <c r="B6" s="13" t="n">
        <v>500</v>
      </c>
      <c r="C6" s="5" t="inlineStr">
        <is>
          <t>Número de productos a importar</t>
        </is>
      </c>
    </row>
    <row r="7" ht="20" customHeight="1">
      <c r="A7" s="3" t="inlineStr">
        <is>
          <t>Peso Neto Total (kg)</t>
        </is>
      </c>
      <c r="B7" s="14" t="n">
        <v>85</v>
      </c>
      <c r="C7" s="5" t="inlineStr">
        <is>
          <t>Peso neto total de la carga</t>
        </is>
      </c>
    </row>
    <row r="8" ht="20" customHeight="1">
      <c r="A8" s="3" t="inlineStr">
        <is>
          <t>Volumen Total (CBM)</t>
        </is>
      </c>
      <c r="B8" s="15" t="n">
        <v>0.65</v>
      </c>
      <c r="C8" s="5" t="inlineStr">
        <is>
          <t>Volumen en metros cúbicos</t>
        </is>
      </c>
    </row>
    <row r="9" ht="20" customHeight="1">
      <c r="A9" s="3" t="inlineStr">
        <is>
          <t>Tipo de Transporte</t>
        </is>
      </c>
      <c r="B9" s="16" t="inlineStr">
        <is>
          <t>Marítimo</t>
        </is>
      </c>
      <c r="C9" s="5" t="inlineStr">
        <is>
          <t>Seleccionar 'Marítimo' o 'Aéreo'</t>
        </is>
      </c>
    </row>
    <row r="10" ht="20" customHeight="1">
      <c r="A10" s="3" t="inlineStr">
        <is>
          <t>Origen de la Mercancía</t>
        </is>
      </c>
      <c r="B10" s="16" t="inlineStr">
        <is>
          <t>China</t>
        </is>
      </c>
      <c r="C10" s="5" t="inlineStr">
        <is>
          <t>Seleccionar origen para recargos de flete</t>
        </is>
      </c>
    </row>
    <row r="11" ht="20" customHeight="1">
      <c r="A11" s="3" t="inlineStr">
        <is>
          <t>Tasa Ad-Valorem / Arancel (%)</t>
        </is>
      </c>
      <c r="B11" s="4" t="n">
        <v>0.06</v>
      </c>
      <c r="C11" s="5" t="inlineStr">
        <is>
          <t>Tasa SUNAT según partida (0%, 4%, 6%, 11%)</t>
        </is>
      </c>
    </row>
    <row r="12" ht="20" customHeight="1">
      <c r="A12" s="3" t="inlineStr">
        <is>
          <t>Percepción IGV Aplicable</t>
        </is>
      </c>
      <c r="B12" s="16" t="inlineStr">
        <is>
          <t>Importador Frecuente (3.5%)</t>
        </is>
      </c>
      <c r="C12" s="5" t="inlineStr">
        <is>
          <t>Tasa de percepción de IGV</t>
        </is>
      </c>
    </row>
    <row r="13" ht="20" customHeight="1">
      <c r="A13" s="3" t="inlineStr">
        <is>
          <t>Margen de Ganancia Deseado (%)</t>
        </is>
      </c>
      <c r="B13" s="4" t="n">
        <v>0.35</v>
      </c>
      <c r="C13" s="5" t="inlineStr">
        <is>
          <t>Margen de ganancia bruto objetivo</t>
        </is>
      </c>
    </row>
    <row r="15" ht="24" customHeight="1">
      <c r="A15" s="2" t="inlineStr">
        <is>
          <t>DESGLOSE DE GASTOS E IMPUESTOS DE IMPORTACIÓN</t>
        </is>
      </c>
    </row>
    <row r="16" ht="20" customHeight="1">
      <c r="A16" s="3" t="inlineStr">
        <is>
          <t>Flete Internacional</t>
        </is>
      </c>
      <c r="B16" s="17">
        <f>IF(B9="Marítimo", MAX(B8*'1. Parametros y Tarifas'!$B$23, (B7/1000)*'1. Parametros y Tarifas'!$B$24), B7*'1. Parametros y Tarifas'!$B$25) * IF(B10="Europa", 1.2, IF(B10="EEUU", 1.1, 1.0))</f>
        <v/>
      </c>
      <c r="C16" s="5" t="inlineStr">
        <is>
          <t>Prorrateado por peso o volumen más recargo de origen</t>
        </is>
      </c>
    </row>
    <row r="17" ht="20" customHeight="1">
      <c r="A17" s="3" t="inlineStr">
        <is>
          <t>Seguro de Aduana (Estimado/Real)</t>
        </is>
      </c>
      <c r="B17" s="17">
        <f>(B5+B16)*'1. Parametros y Tarifas'!$B$26</f>
        <v/>
      </c>
      <c r="C17" s="5" t="inlineStr">
        <is>
          <t>Costo de póliza o seguro estimado SUNAT</t>
        </is>
      </c>
    </row>
    <row r="18" ht="20" customHeight="1">
      <c r="A18" s="18" t="inlineStr">
        <is>
          <t>Valor CIF (Costo + Flete + Seguro)</t>
        </is>
      </c>
      <c r="B18" s="19">
        <f>B5+B16+B17</f>
        <v/>
      </c>
      <c r="C18" s="5" t="inlineStr">
        <is>
          <t>Valor base imponible de aduana (CIF)</t>
        </is>
      </c>
    </row>
    <row r="19" ht="20" customHeight="1">
      <c r="A19" s="3" t="inlineStr">
        <is>
          <t>Derechos Arancelarios (Ad-Valorem)</t>
        </is>
      </c>
      <c r="B19" s="17">
        <f>B18*B11</f>
        <v/>
      </c>
      <c r="C19" s="5" t="inlineStr">
        <is>
          <t>Arancel cobrado en aduana peruana</t>
        </is>
      </c>
    </row>
    <row r="20" ht="20" customHeight="1">
      <c r="A20" s="3" t="inlineStr">
        <is>
          <t>Impuesto General a las Ventas (IGV 16%)</t>
        </is>
      </c>
      <c r="B20" s="17">
        <f>(B18+B19)*'1. Parametros y Tarifas'!$B$4</f>
        <v/>
      </c>
      <c r="C20" s="5" t="inlineStr">
        <is>
          <t>Impuesto local IGV (Crédito Fiscal)</t>
        </is>
      </c>
    </row>
    <row r="21" ht="20" customHeight="1">
      <c r="A21" s="3" t="inlineStr">
        <is>
          <t>Impuesto Promoción Municipal (IPM 2%)</t>
        </is>
      </c>
      <c r="B21" s="17">
        <f>(B18+B19)*'1. Parametros y Tarifas'!$B$5</f>
        <v/>
      </c>
      <c r="C21" s="5" t="inlineStr">
        <is>
          <t>Impuesto local IPM (Crédito Fiscal)</t>
        </is>
      </c>
    </row>
    <row r="22" ht="20" customHeight="1">
      <c r="A22" s="3" t="inlineStr">
        <is>
          <t>Gastos Operativos Locales (Despacho)</t>
        </is>
      </c>
      <c r="B22" s="17">
        <f>MAX('1. Parametros y Tarifas'!$B$14, B18*'1. Parametros y Tarifas'!$B$13) + '1. Parametros y Tarifas'!$B$20</f>
        <v/>
      </c>
      <c r="C22" s="5" t="inlineStr">
        <is>
          <t>Agente aduanas, puerto, almacén y transporte local</t>
        </is>
      </c>
    </row>
    <row r="23" ht="20" customHeight="1">
      <c r="A23" s="3" t="inlineStr">
        <is>
          <t>Percepción IGV (SUNAT)</t>
        </is>
      </c>
      <c r="B23" s="17">
        <f>(B18+B19+B20+B21)*IF(B12="Primera Importación (10%)", '1. Parametros y Tarifas'!$B$7, IF(B12="Bienes Usados (5%)", '1. Parametros y Tarifas'!$B$9, IF(B12="No Aplicable (0%)", 0, '1. Parametros y Tarifas'!$B$8)))</f>
        <v/>
      </c>
      <c r="C23" s="5" t="inlineStr">
        <is>
          <t>Pago por adelantado del IGV local (Crédito Fiscal)</t>
        </is>
      </c>
    </row>
    <row r="25" ht="24" customHeight="1">
      <c r="A25" s="2" t="inlineStr">
        <is>
          <t>ANÁLISIS DE COSTOS REALES Y PRECIOS DE VENTA</t>
        </is>
      </c>
    </row>
    <row r="26" ht="20" customHeight="1">
      <c r="A26" s="3" t="inlineStr">
        <is>
          <t>Costo Total en Almacén (Real Cost)</t>
        </is>
      </c>
      <c r="B26" s="17">
        <f>B18+B19+B22</f>
        <v/>
      </c>
      <c r="C26" s="5" t="inlineStr">
        <is>
          <t>Suma de CIF + Arancel + Gastos Locales (No incluye IGV)</t>
        </is>
      </c>
    </row>
    <row r="27" ht="20" customHeight="1">
      <c r="A27" s="18" t="inlineStr">
        <is>
          <t>Costo Unitario en Almacén (USD)</t>
        </is>
      </c>
      <c r="B27" s="20">
        <f>B26/B6</f>
        <v/>
      </c>
      <c r="C27" s="5" t="inlineStr">
        <is>
          <t>Costo unitario real puesto en almacén (excl. IGV)</t>
        </is>
      </c>
    </row>
    <row r="28" ht="20" customHeight="1">
      <c r="A28" s="18" t="inlineStr">
        <is>
          <t>Costo Unitario en Almacén (PEN)</t>
        </is>
      </c>
      <c r="B28" s="21">
        <f>B27*'1. Parametros y Tarifas'!$B$10</f>
        <v/>
      </c>
      <c r="C28" s="5" t="inlineStr">
        <is>
          <t>Costo unitario real convertido a Soles</t>
        </is>
      </c>
    </row>
    <row r="29" ht="20" customHeight="1">
      <c r="A29" s="3" t="inlineStr">
        <is>
          <t>Impuestos Recuperables (Crédito Fiscal)</t>
        </is>
      </c>
      <c r="B29" s="17">
        <f>B20+B21+B23</f>
        <v/>
      </c>
      <c r="C29" s="5" t="inlineStr">
        <is>
          <t>IGV + IPM + Percepción que se recuperan en ventas locales</t>
        </is>
      </c>
    </row>
    <row r="30" ht="20" customHeight="1">
      <c r="A30" s="3" t="inlineStr">
        <is>
          <t>Desembolso de Caja Total (Caja)</t>
        </is>
      </c>
      <c r="B30" s="17">
        <f>B26+B29</f>
        <v/>
      </c>
      <c r="C30" s="5" t="inlineStr">
        <is>
          <t>Dinero total necesario para desaduanar y almacenar</t>
        </is>
      </c>
    </row>
    <row r="31" ht="20" customHeight="1">
      <c r="A31" s="18" t="inlineStr">
        <is>
          <t>Precio Venta Sugerido (USD - Sin IGV)</t>
        </is>
      </c>
      <c r="B31" s="20">
        <f>B27/(1-B13)</f>
        <v/>
      </c>
      <c r="C31" s="5" t="inlineStr">
        <is>
          <t>Precio unitario para obtener el margen neto deseado</t>
        </is>
      </c>
    </row>
    <row r="32" ht="20" customHeight="1">
      <c r="A32" s="18" t="inlineStr">
        <is>
          <t>Precio Venta Sugerido (PEN - Sin IGV)</t>
        </is>
      </c>
      <c r="B32" s="21">
        <f>B31*'1. Parametros y Tarifas'!$B$10</f>
        <v/>
      </c>
      <c r="C32" s="5" t="inlineStr">
        <is>
          <t>Precio unitario en Soles sin IGV local</t>
        </is>
      </c>
    </row>
    <row r="33" ht="20" customHeight="1">
      <c r="A33" s="18" t="inlineStr">
        <is>
          <t>Precio Venta Sugerido Público (PEN - Con IGV)</t>
        </is>
      </c>
      <c r="B33" s="21">
        <f>B32*1.18</f>
        <v/>
      </c>
      <c r="C33" s="5" t="inlineStr">
        <is>
          <t>Precio final al público con IGV incluido (18%)</t>
        </is>
      </c>
    </row>
    <row r="34" ht="20" customHeight="1">
      <c r="A34" s="3" t="inlineStr">
        <is>
          <t>Utilidad Neta Total Estimada (USD)</t>
        </is>
      </c>
      <c r="B34" s="17">
        <f>(B31-B27)*B6</f>
        <v/>
      </c>
      <c r="C34" s="5" t="inlineStr">
        <is>
          <t>Ganancia bruta total proyectada (excluyendo IGV)</t>
        </is>
      </c>
    </row>
  </sheetData>
  <mergeCells count="4">
    <mergeCell ref="A1:C1"/>
    <mergeCell ref="A25:C25"/>
    <mergeCell ref="A3:C3"/>
    <mergeCell ref="A15:C15"/>
  </mergeCells>
  <dataValidations count="4">
    <dataValidation sqref="B9" showDropDown="0" showInputMessage="0" showErrorMessage="0" allowBlank="1" type="list">
      <formula1>"Marítimo,Aéreo"</formula1>
    </dataValidation>
    <dataValidation sqref="B10" showDropDown="0" showInputMessage="0" showErrorMessage="0" allowBlank="1" type="list">
      <formula1>"China,EEUU,Europa,Otros"</formula1>
    </dataValidation>
    <dataValidation sqref="B11" showDropDown="0" showInputMessage="0" showErrorMessage="0" allowBlank="1" type="list">
      <formula1>"0.0,0.04,0.06,0.11"</formula1>
    </dataValidation>
    <dataValidation sqref="B12" showDropDown="0" showInputMessage="0" showErrorMessage="0" allowBlank="1" type="list">
      <formula1>"Primera Importación (10%),Importador Frecuente (3.5%),Bienes Usados (5%),No Aplicable (0%)"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6" customWidth="1" min="3" max="3"/>
    <col width="13" customWidth="1" min="4" max="4"/>
    <col width="14" customWidth="1" min="5" max="5"/>
    <col width="13" customWidth="1" min="6" max="6"/>
    <col width="13" customWidth="1" min="7" max="7"/>
    <col width="10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6" customWidth="1" min="19" max="19"/>
    <col width="10" customWidth="1" min="20" max="20"/>
    <col width="20" customWidth="1" min="21" max="21"/>
    <col width="20" customWidth="1" min="22" max="22"/>
    <col width="16" customWidth="1" min="23" max="23"/>
    <col width="16" customWidth="1" min="24" max="24"/>
    <col width="16" customWidth="1" min="25" max="25"/>
  </cols>
  <sheetData>
    <row r="1" ht="40" customHeight="1">
      <c r="A1" s="1" t="inlineStr">
        <is>
          <t>CUADRO DE PRORRATEO Y DISTRIBUCIÓN DE COSTOS DE IMPORTACIÓN</t>
        </is>
      </c>
    </row>
    <row r="3" ht="24" customHeight="1">
      <c r="A3" s="2" t="inlineStr">
        <is>
          <t>GASTOS GENERALES DEL EMBARQUE</t>
        </is>
      </c>
    </row>
    <row r="4">
      <c r="A4" s="3" t="inlineStr">
        <is>
          <t>Flete Internacional Facturado (USD)</t>
        </is>
      </c>
      <c r="B4" s="8" t="n">
        <v>1850</v>
      </c>
    </row>
    <row r="5">
      <c r="A5" s="3" t="inlineStr">
        <is>
          <t>Seguro Internacional Facturado (USD)</t>
        </is>
      </c>
      <c r="B5" s="8" t="n">
        <v>125</v>
      </c>
    </row>
    <row r="6">
      <c r="A6" s="3" t="inlineStr">
        <is>
          <t>Gastos Locales de Despacho (USD)</t>
        </is>
      </c>
      <c r="B6" s="8" t="n">
        <v>890</v>
      </c>
    </row>
    <row r="7">
      <c r="A7" s="3" t="inlineStr">
        <is>
          <t>Criterio de Prorrateo del Flete</t>
        </is>
      </c>
      <c r="B7" s="16" t="inlineStr">
        <is>
          <t>Volumen</t>
        </is>
      </c>
    </row>
    <row r="8">
      <c r="A8" s="3" t="inlineStr">
        <is>
          <t>Tasa de Percepción IGV (%)</t>
        </is>
      </c>
      <c r="B8" s="4" t="n">
        <v>0.035</v>
      </c>
    </row>
    <row r="9">
      <c r="A9" s="3" t="inlineStr">
        <is>
          <t>Tipo de Cambio Oficial (S/.)</t>
        </is>
      </c>
      <c r="B9" s="7">
        <f>'1. Parametros y Tarifas'!B10</f>
        <v/>
      </c>
    </row>
    <row r="11" ht="28" customHeight="1">
      <c r="A11" s="22" t="inlineStr">
        <is>
          <t>Item</t>
        </is>
      </c>
      <c r="B11" s="22" t="inlineStr">
        <is>
          <t>SKU / Código</t>
        </is>
      </c>
      <c r="C11" s="22" t="inlineStr">
        <is>
          <t>Descripción</t>
        </is>
      </c>
      <c r="D11" s="22" t="inlineStr">
        <is>
          <t>Cantidad (Uds)</t>
        </is>
      </c>
      <c r="E11" s="22" t="inlineStr">
        <is>
          <t>FOB Unit (USD)</t>
        </is>
      </c>
      <c r="F11" s="22" t="inlineStr">
        <is>
          <t>Peso Unit (kg)</t>
        </is>
      </c>
      <c r="G11" s="22" t="inlineStr">
        <is>
          <t>Vol Unit (CBM)</t>
        </is>
      </c>
      <c r="H11" s="22" t="inlineStr">
        <is>
          <t>Arancel %</t>
        </is>
      </c>
      <c r="I11" s="22" t="inlineStr">
        <is>
          <t>FOB Total (USD)</t>
        </is>
      </c>
      <c r="J11" s="22" t="inlineStr">
        <is>
          <t>Peso Total (kg)</t>
        </is>
      </c>
      <c r="K11" s="22" t="inlineStr">
        <is>
          <t>Vol Total (CBM)</t>
        </is>
      </c>
      <c r="L11" s="22" t="inlineStr">
        <is>
          <t>Flete Asig (USD)</t>
        </is>
      </c>
      <c r="M11" s="22" t="inlineStr">
        <is>
          <t>Seguro Asig (USD)</t>
        </is>
      </c>
      <c r="N11" s="22" t="inlineStr">
        <is>
          <t>CIF Total (USD)</t>
        </is>
      </c>
      <c r="O11" s="22" t="inlineStr">
        <is>
          <t>CIF Unit (USD)</t>
        </is>
      </c>
      <c r="P11" s="22" t="inlineStr">
        <is>
          <t>Ad-Valorem (USD)</t>
        </is>
      </c>
      <c r="Q11" s="22" t="inlineStr">
        <is>
          <t>Gastos Loc. (USD)</t>
        </is>
      </c>
      <c r="R11" s="22" t="inlineStr">
        <is>
          <t>Cost Almacén (USD)</t>
        </is>
      </c>
      <c r="S11" s="22" t="inlineStr">
        <is>
          <t>Cost Unit Alm (USD)</t>
        </is>
      </c>
      <c r="T11" s="22" t="inlineStr">
        <is>
          <t>Margen %</t>
        </is>
      </c>
      <c r="U11" s="22" t="inlineStr">
        <is>
          <t>P. Venta USD (sin IGV)</t>
        </is>
      </c>
      <c r="V11" s="22" t="inlineStr">
        <is>
          <t>P. Venta PEN (sin IGV)</t>
        </is>
      </c>
      <c r="W11" s="22" t="inlineStr">
        <is>
          <t>Util Total (USD)</t>
        </is>
      </c>
      <c r="X11" s="22" t="inlineStr">
        <is>
          <t>IGV+IPM Aduana</t>
        </is>
      </c>
      <c r="Y11" s="22" t="inlineStr">
        <is>
          <t>Percepción (USD)</t>
        </is>
      </c>
    </row>
    <row r="12" ht="20" customHeight="1">
      <c r="A12" s="23" t="n">
        <v>1</v>
      </c>
      <c r="B12" s="23" t="inlineStr">
        <is>
          <t>SKU-9081</t>
        </is>
      </c>
      <c r="C12" s="24" t="inlineStr">
        <is>
          <t>Smartphones Android 12</t>
        </is>
      </c>
      <c r="D12" s="25" t="n">
        <v>200</v>
      </c>
      <c r="E12" s="26" t="n">
        <v>150</v>
      </c>
      <c r="F12" s="27" t="n">
        <v>0.25</v>
      </c>
      <c r="G12" s="28" t="n">
        <v>0.002</v>
      </c>
      <c r="H12" s="29" t="n">
        <v>0</v>
      </c>
      <c r="I12" s="30">
        <f>D12*E12</f>
        <v/>
      </c>
      <c r="J12" s="31">
        <f>D12*F12</f>
        <v/>
      </c>
      <c r="K12" s="32">
        <f>D12*G12</f>
        <v/>
      </c>
      <c r="L12" s="30">
        <f>IFERROR(IF($B$7="Peso", J12/SUM($J$12:$J$26)*$B$4, IF($B$7="Volumen", K12/SUM($K$12:$K$26)*$B$4, I12/SUM($I$12:$I$26)*$B$4)), 0)</f>
        <v/>
      </c>
      <c r="M12" s="30">
        <f>IFERROR(I12/SUM($I$12:$I$26)*$B$5, 0)</f>
        <v/>
      </c>
      <c r="N12" s="30">
        <f>I12+L12+M12</f>
        <v/>
      </c>
      <c r="O12" s="30">
        <f>IFERROR(N12/D12, 0)</f>
        <v/>
      </c>
      <c r="P12" s="30">
        <f>N12*H12</f>
        <v/>
      </c>
      <c r="Q12" s="30">
        <f>IFERROR(I12/SUM($I$12:$I$26)*$B$6, 0)</f>
        <v/>
      </c>
      <c r="R12" s="30">
        <f>N12+P12+Q12</f>
        <v/>
      </c>
      <c r="S12" s="33">
        <f>IFERROR(R12/D12, 0)</f>
        <v/>
      </c>
      <c r="T12" s="29" t="n">
        <v>0.35</v>
      </c>
      <c r="U12" s="33">
        <f>IFERROR(S12/(1-T12), 0)</f>
        <v/>
      </c>
      <c r="V12" s="34">
        <f>U12*$B$9</f>
        <v/>
      </c>
      <c r="W12" s="30">
        <f>(U12-S12)*D12</f>
        <v/>
      </c>
      <c r="X12" s="30">
        <f>(N12+P12)*'1. Parametros y Tarifas'!$B$6</f>
        <v/>
      </c>
      <c r="Y12" s="30">
        <f>(N12+P12+X12)*$B$8</f>
        <v/>
      </c>
    </row>
    <row r="13" ht="20" customHeight="1">
      <c r="A13" s="35" t="n">
        <v>2</v>
      </c>
      <c r="B13" s="35" t="inlineStr">
        <is>
          <t>SKU-4402</t>
        </is>
      </c>
      <c r="C13" s="3" t="inlineStr">
        <is>
          <t>Fundas de Silicona TPU</t>
        </is>
      </c>
      <c r="D13" s="25" t="n">
        <v>1500</v>
      </c>
      <c r="E13" s="26" t="n">
        <v>1.2</v>
      </c>
      <c r="F13" s="27" t="n">
        <v>0.04</v>
      </c>
      <c r="G13" s="28" t="n">
        <v>0.0005</v>
      </c>
      <c r="H13" s="29" t="n">
        <v>0.06</v>
      </c>
      <c r="I13" s="36">
        <f>D13*E13</f>
        <v/>
      </c>
      <c r="J13" s="37">
        <f>D13*F13</f>
        <v/>
      </c>
      <c r="K13" s="38">
        <f>D13*G13</f>
        <v/>
      </c>
      <c r="L13" s="36">
        <f>IFERROR(IF($B$7="Peso", J13/SUM($J$12:$J$26)*$B$4, IF($B$7="Volumen", K13/SUM($K$12:$K$26)*$B$4, I13/SUM($I$12:$I$26)*$B$4)), 0)</f>
        <v/>
      </c>
      <c r="M13" s="36">
        <f>IFERROR(I13/SUM($I$12:$I$26)*$B$5, 0)</f>
        <v/>
      </c>
      <c r="N13" s="36">
        <f>I13+L13+M13</f>
        <v/>
      </c>
      <c r="O13" s="36">
        <f>IFERROR(N13/D13, 0)</f>
        <v/>
      </c>
      <c r="P13" s="36">
        <f>N13*H13</f>
        <v/>
      </c>
      <c r="Q13" s="36">
        <f>IFERROR(I13/SUM($I$12:$I$26)*$B$6, 0)</f>
        <v/>
      </c>
      <c r="R13" s="36">
        <f>N13+P13+Q13</f>
        <v/>
      </c>
      <c r="S13" s="33">
        <f>IFERROR(R13/D13, 0)</f>
        <v/>
      </c>
      <c r="T13" s="29" t="n">
        <v>0.4</v>
      </c>
      <c r="U13" s="33">
        <f>IFERROR(S13/(1-T13), 0)</f>
        <v/>
      </c>
      <c r="V13" s="34">
        <f>U13*$B$9</f>
        <v/>
      </c>
      <c r="W13" s="36">
        <f>(U13-S13)*D13</f>
        <v/>
      </c>
      <c r="X13" s="36">
        <f>(N13+P13)*'1. Parametros y Tarifas'!$B$6</f>
        <v/>
      </c>
      <c r="Y13" s="36">
        <f>(N13+P13+X13)*$B$8</f>
        <v/>
      </c>
    </row>
    <row r="14" ht="20" customHeight="1">
      <c r="A14" s="23" t="n">
        <v>3</v>
      </c>
      <c r="B14" s="23" t="inlineStr">
        <is>
          <t>SKU-5211</t>
        </is>
      </c>
      <c r="C14" s="24" t="inlineStr">
        <is>
          <t>Cargadores Inalámbricos 15W</t>
        </is>
      </c>
      <c r="D14" s="25" t="n">
        <v>800</v>
      </c>
      <c r="E14" s="26" t="n">
        <v>8.5</v>
      </c>
      <c r="F14" s="27" t="n">
        <v>0.12</v>
      </c>
      <c r="G14" s="28" t="n">
        <v>0.001</v>
      </c>
      <c r="H14" s="29" t="n">
        <v>0.06</v>
      </c>
      <c r="I14" s="30">
        <f>D14*E14</f>
        <v/>
      </c>
      <c r="J14" s="31">
        <f>D14*F14</f>
        <v/>
      </c>
      <c r="K14" s="32">
        <f>D14*G14</f>
        <v/>
      </c>
      <c r="L14" s="30">
        <f>IFERROR(IF($B$7="Peso", J14/SUM($J$12:$J$26)*$B$4, IF($B$7="Volumen", K14/SUM($K$12:$K$26)*$B$4, I14/SUM($I$12:$I$26)*$B$4)), 0)</f>
        <v/>
      </c>
      <c r="M14" s="30">
        <f>IFERROR(I14/SUM($I$12:$I$26)*$B$5, 0)</f>
        <v/>
      </c>
      <c r="N14" s="30">
        <f>I14+L14+M14</f>
        <v/>
      </c>
      <c r="O14" s="30">
        <f>IFERROR(N14/D14, 0)</f>
        <v/>
      </c>
      <c r="P14" s="30">
        <f>N14*H14</f>
        <v/>
      </c>
      <c r="Q14" s="30">
        <f>IFERROR(I14/SUM($I$12:$I$26)*$B$6, 0)</f>
        <v/>
      </c>
      <c r="R14" s="30">
        <f>N14+P14+Q14</f>
        <v/>
      </c>
      <c r="S14" s="33">
        <f>IFERROR(R14/D14, 0)</f>
        <v/>
      </c>
      <c r="T14" s="29" t="n">
        <v>0.35</v>
      </c>
      <c r="U14" s="33">
        <f>IFERROR(S14/(1-T14), 0)</f>
        <v/>
      </c>
      <c r="V14" s="34">
        <f>U14*$B$9</f>
        <v/>
      </c>
      <c r="W14" s="30">
        <f>(U14-S14)*D14</f>
        <v/>
      </c>
      <c r="X14" s="30">
        <f>(N14+P14)*'1. Parametros y Tarifas'!$B$6</f>
        <v/>
      </c>
      <c r="Y14" s="30">
        <f>(N14+P14+X14)*$B$8</f>
        <v/>
      </c>
    </row>
    <row r="15" ht="20" customHeight="1">
      <c r="A15" s="35" t="inlineStr"/>
      <c r="B15" s="35" t="inlineStr"/>
      <c r="C15" s="3" t="inlineStr"/>
      <c r="D15" s="39" t="inlineStr"/>
      <c r="E15" s="40" t="inlineStr"/>
      <c r="F15" s="41" t="inlineStr"/>
      <c r="G15" s="42" t="inlineStr"/>
      <c r="H15" s="43" t="inlineStr"/>
      <c r="I15" s="36">
        <f>D15*E15</f>
        <v/>
      </c>
      <c r="J15" s="37">
        <f>D15*F15</f>
        <v/>
      </c>
      <c r="K15" s="38">
        <f>D15*G15</f>
        <v/>
      </c>
      <c r="L15" s="36">
        <f>IFERROR(IF($B$7="Peso", J15/SUM($J$12:$J$26)*$B$4, IF($B$7="Volumen", K15/SUM($K$12:$K$26)*$B$4, I15/SUM($I$12:$I$26)*$B$4)), 0)</f>
        <v/>
      </c>
      <c r="M15" s="36">
        <f>IFERROR(I15/SUM($I$12:$I$26)*$B$5, 0)</f>
        <v/>
      </c>
      <c r="N15" s="36">
        <f>I15+L15+M15</f>
        <v/>
      </c>
      <c r="O15" s="36">
        <f>IFERROR(N15/D15, 0)</f>
        <v/>
      </c>
      <c r="P15" s="36">
        <f>N15*H15</f>
        <v/>
      </c>
      <c r="Q15" s="36">
        <f>IFERROR(I15/SUM($I$12:$I$26)*$B$6, 0)</f>
        <v/>
      </c>
      <c r="R15" s="36">
        <f>N15+P15+Q15</f>
        <v/>
      </c>
      <c r="S15" s="33">
        <f>IFERROR(R15/D15, 0)</f>
        <v/>
      </c>
      <c r="T15" s="43" t="inlineStr"/>
      <c r="U15" s="33">
        <f>IFERROR(S15/(1-T15), 0)</f>
        <v/>
      </c>
      <c r="V15" s="34">
        <f>U15*$B$9</f>
        <v/>
      </c>
      <c r="W15" s="36">
        <f>(U15-S15)*D15</f>
        <v/>
      </c>
      <c r="X15" s="36">
        <f>(N15+P15)*'1. Parametros y Tarifas'!$B$6</f>
        <v/>
      </c>
      <c r="Y15" s="36">
        <f>(N15+P15+X15)*$B$8</f>
        <v/>
      </c>
    </row>
    <row r="16" ht="20" customHeight="1">
      <c r="A16" s="23" t="inlineStr"/>
      <c r="B16" s="23" t="inlineStr"/>
      <c r="C16" s="24" t="inlineStr"/>
      <c r="D16" s="44" t="inlineStr"/>
      <c r="E16" s="45" t="inlineStr"/>
      <c r="F16" s="46" t="inlineStr"/>
      <c r="G16" s="47" t="inlineStr"/>
      <c r="H16" s="48" t="inlineStr"/>
      <c r="I16" s="30">
        <f>D16*E16</f>
        <v/>
      </c>
      <c r="J16" s="31">
        <f>D16*F16</f>
        <v/>
      </c>
      <c r="K16" s="32">
        <f>D16*G16</f>
        <v/>
      </c>
      <c r="L16" s="30">
        <f>IFERROR(IF($B$7="Peso", J16/SUM($J$12:$J$26)*$B$4, IF($B$7="Volumen", K16/SUM($K$12:$K$26)*$B$4, I16/SUM($I$12:$I$26)*$B$4)), 0)</f>
        <v/>
      </c>
      <c r="M16" s="30">
        <f>IFERROR(I16/SUM($I$12:$I$26)*$B$5, 0)</f>
        <v/>
      </c>
      <c r="N16" s="30">
        <f>I16+L16+M16</f>
        <v/>
      </c>
      <c r="O16" s="30">
        <f>IFERROR(N16/D16, 0)</f>
        <v/>
      </c>
      <c r="P16" s="30">
        <f>N16*H16</f>
        <v/>
      </c>
      <c r="Q16" s="30">
        <f>IFERROR(I16/SUM($I$12:$I$26)*$B$6, 0)</f>
        <v/>
      </c>
      <c r="R16" s="30">
        <f>N16+P16+Q16</f>
        <v/>
      </c>
      <c r="S16" s="33">
        <f>IFERROR(R16/D16, 0)</f>
        <v/>
      </c>
      <c r="T16" s="48" t="inlineStr"/>
      <c r="U16" s="33">
        <f>IFERROR(S16/(1-T16), 0)</f>
        <v/>
      </c>
      <c r="V16" s="34">
        <f>U16*$B$9</f>
        <v/>
      </c>
      <c r="W16" s="30">
        <f>(U16-S16)*D16</f>
        <v/>
      </c>
      <c r="X16" s="30">
        <f>(N16+P16)*'1. Parametros y Tarifas'!$B$6</f>
        <v/>
      </c>
      <c r="Y16" s="30">
        <f>(N16+P16+X16)*$B$8</f>
        <v/>
      </c>
    </row>
    <row r="17" ht="20" customHeight="1">
      <c r="A17" s="35" t="inlineStr"/>
      <c r="B17" s="35" t="inlineStr"/>
      <c r="C17" s="3" t="inlineStr"/>
      <c r="D17" s="39" t="inlineStr"/>
      <c r="E17" s="40" t="inlineStr"/>
      <c r="F17" s="41" t="inlineStr"/>
      <c r="G17" s="42" t="inlineStr"/>
      <c r="H17" s="43" t="inlineStr"/>
      <c r="I17" s="36">
        <f>D17*E17</f>
        <v/>
      </c>
      <c r="J17" s="37">
        <f>D17*F17</f>
        <v/>
      </c>
      <c r="K17" s="38">
        <f>D17*G17</f>
        <v/>
      </c>
      <c r="L17" s="36">
        <f>IFERROR(IF($B$7="Peso", J17/SUM($J$12:$J$26)*$B$4, IF($B$7="Volumen", K17/SUM($K$12:$K$26)*$B$4, I17/SUM($I$12:$I$26)*$B$4)), 0)</f>
        <v/>
      </c>
      <c r="M17" s="36">
        <f>IFERROR(I17/SUM($I$12:$I$26)*$B$5, 0)</f>
        <v/>
      </c>
      <c r="N17" s="36">
        <f>I17+L17+M17</f>
        <v/>
      </c>
      <c r="O17" s="36">
        <f>IFERROR(N17/D17, 0)</f>
        <v/>
      </c>
      <c r="P17" s="36">
        <f>N17*H17</f>
        <v/>
      </c>
      <c r="Q17" s="36">
        <f>IFERROR(I17/SUM($I$12:$I$26)*$B$6, 0)</f>
        <v/>
      </c>
      <c r="R17" s="36">
        <f>N17+P17+Q17</f>
        <v/>
      </c>
      <c r="S17" s="33">
        <f>IFERROR(R17/D17, 0)</f>
        <v/>
      </c>
      <c r="T17" s="43" t="inlineStr"/>
      <c r="U17" s="33">
        <f>IFERROR(S17/(1-T17), 0)</f>
        <v/>
      </c>
      <c r="V17" s="34">
        <f>U17*$B$9</f>
        <v/>
      </c>
      <c r="W17" s="36">
        <f>(U17-S17)*D17</f>
        <v/>
      </c>
      <c r="X17" s="36">
        <f>(N17+P17)*'1. Parametros y Tarifas'!$B$6</f>
        <v/>
      </c>
      <c r="Y17" s="36">
        <f>(N17+P17+X17)*$B$8</f>
        <v/>
      </c>
    </row>
    <row r="18" ht="20" customHeight="1">
      <c r="A18" s="23" t="inlineStr"/>
      <c r="B18" s="23" t="inlineStr"/>
      <c r="C18" s="24" t="inlineStr"/>
      <c r="D18" s="44" t="inlineStr"/>
      <c r="E18" s="45" t="inlineStr"/>
      <c r="F18" s="46" t="inlineStr"/>
      <c r="G18" s="47" t="inlineStr"/>
      <c r="H18" s="48" t="inlineStr"/>
      <c r="I18" s="30">
        <f>D18*E18</f>
        <v/>
      </c>
      <c r="J18" s="31">
        <f>D18*F18</f>
        <v/>
      </c>
      <c r="K18" s="32">
        <f>D18*G18</f>
        <v/>
      </c>
      <c r="L18" s="30">
        <f>IFERROR(IF($B$7="Peso", J18/SUM($J$12:$J$26)*$B$4, IF($B$7="Volumen", K18/SUM($K$12:$K$26)*$B$4, I18/SUM($I$12:$I$26)*$B$4)), 0)</f>
        <v/>
      </c>
      <c r="M18" s="30">
        <f>IFERROR(I18/SUM($I$12:$I$26)*$B$5, 0)</f>
        <v/>
      </c>
      <c r="N18" s="30">
        <f>I18+L18+M18</f>
        <v/>
      </c>
      <c r="O18" s="30">
        <f>IFERROR(N18/D18, 0)</f>
        <v/>
      </c>
      <c r="P18" s="30">
        <f>N18*H18</f>
        <v/>
      </c>
      <c r="Q18" s="30">
        <f>IFERROR(I18/SUM($I$12:$I$26)*$B$6, 0)</f>
        <v/>
      </c>
      <c r="R18" s="30">
        <f>N18+P18+Q18</f>
        <v/>
      </c>
      <c r="S18" s="33">
        <f>IFERROR(R18/D18, 0)</f>
        <v/>
      </c>
      <c r="T18" s="48" t="inlineStr"/>
      <c r="U18" s="33">
        <f>IFERROR(S18/(1-T18), 0)</f>
        <v/>
      </c>
      <c r="V18" s="34">
        <f>U18*$B$9</f>
        <v/>
      </c>
      <c r="W18" s="30">
        <f>(U18-S18)*D18</f>
        <v/>
      </c>
      <c r="X18" s="30">
        <f>(N18+P18)*'1. Parametros y Tarifas'!$B$6</f>
        <v/>
      </c>
      <c r="Y18" s="30">
        <f>(N18+P18+X18)*$B$8</f>
        <v/>
      </c>
    </row>
    <row r="19" ht="20" customHeight="1">
      <c r="A19" s="35" t="inlineStr"/>
      <c r="B19" s="35" t="inlineStr"/>
      <c r="C19" s="3" t="inlineStr"/>
      <c r="D19" s="39" t="inlineStr"/>
      <c r="E19" s="40" t="inlineStr"/>
      <c r="F19" s="41" t="inlineStr"/>
      <c r="G19" s="42" t="inlineStr"/>
      <c r="H19" s="43" t="inlineStr"/>
      <c r="I19" s="36">
        <f>D19*E19</f>
        <v/>
      </c>
      <c r="J19" s="37">
        <f>D19*F19</f>
        <v/>
      </c>
      <c r="K19" s="38">
        <f>D19*G19</f>
        <v/>
      </c>
      <c r="L19" s="36">
        <f>IFERROR(IF($B$7="Peso", J19/SUM($J$12:$J$26)*$B$4, IF($B$7="Volumen", K19/SUM($K$12:$K$26)*$B$4, I19/SUM($I$12:$I$26)*$B$4)), 0)</f>
        <v/>
      </c>
      <c r="M19" s="36">
        <f>IFERROR(I19/SUM($I$12:$I$26)*$B$5, 0)</f>
        <v/>
      </c>
      <c r="N19" s="36">
        <f>I19+L19+M19</f>
        <v/>
      </c>
      <c r="O19" s="36">
        <f>IFERROR(N19/D19, 0)</f>
        <v/>
      </c>
      <c r="P19" s="36">
        <f>N19*H19</f>
        <v/>
      </c>
      <c r="Q19" s="36">
        <f>IFERROR(I19/SUM($I$12:$I$26)*$B$6, 0)</f>
        <v/>
      </c>
      <c r="R19" s="36">
        <f>N19+P19+Q19</f>
        <v/>
      </c>
      <c r="S19" s="33">
        <f>IFERROR(R19/D19, 0)</f>
        <v/>
      </c>
      <c r="T19" s="43" t="inlineStr"/>
      <c r="U19" s="33">
        <f>IFERROR(S19/(1-T19), 0)</f>
        <v/>
      </c>
      <c r="V19" s="34">
        <f>U19*$B$9</f>
        <v/>
      </c>
      <c r="W19" s="36">
        <f>(U19-S19)*D19</f>
        <v/>
      </c>
      <c r="X19" s="36">
        <f>(N19+P19)*'1. Parametros y Tarifas'!$B$6</f>
        <v/>
      </c>
      <c r="Y19" s="36">
        <f>(N19+P19+X19)*$B$8</f>
        <v/>
      </c>
    </row>
    <row r="20" ht="20" customHeight="1">
      <c r="A20" s="23" t="inlineStr"/>
      <c r="B20" s="23" t="inlineStr"/>
      <c r="C20" s="24" t="inlineStr"/>
      <c r="D20" s="44" t="inlineStr"/>
      <c r="E20" s="45" t="inlineStr"/>
      <c r="F20" s="46" t="inlineStr"/>
      <c r="G20" s="47" t="inlineStr"/>
      <c r="H20" s="48" t="inlineStr"/>
      <c r="I20" s="30">
        <f>D20*E20</f>
        <v/>
      </c>
      <c r="J20" s="31">
        <f>D20*F20</f>
        <v/>
      </c>
      <c r="K20" s="32">
        <f>D20*G20</f>
        <v/>
      </c>
      <c r="L20" s="30">
        <f>IFERROR(IF($B$7="Peso", J20/SUM($J$12:$J$26)*$B$4, IF($B$7="Volumen", K20/SUM($K$12:$K$26)*$B$4, I20/SUM($I$12:$I$26)*$B$4)), 0)</f>
        <v/>
      </c>
      <c r="M20" s="30">
        <f>IFERROR(I20/SUM($I$12:$I$26)*$B$5, 0)</f>
        <v/>
      </c>
      <c r="N20" s="30">
        <f>I20+L20+M20</f>
        <v/>
      </c>
      <c r="O20" s="30">
        <f>IFERROR(N20/D20, 0)</f>
        <v/>
      </c>
      <c r="P20" s="30">
        <f>N20*H20</f>
        <v/>
      </c>
      <c r="Q20" s="30">
        <f>IFERROR(I20/SUM($I$12:$I$26)*$B$6, 0)</f>
        <v/>
      </c>
      <c r="R20" s="30">
        <f>N20+P20+Q20</f>
        <v/>
      </c>
      <c r="S20" s="33">
        <f>IFERROR(R20/D20, 0)</f>
        <v/>
      </c>
      <c r="T20" s="48" t="inlineStr"/>
      <c r="U20" s="33">
        <f>IFERROR(S20/(1-T20), 0)</f>
        <v/>
      </c>
      <c r="V20" s="34">
        <f>U20*$B$9</f>
        <v/>
      </c>
      <c r="W20" s="30">
        <f>(U20-S20)*D20</f>
        <v/>
      </c>
      <c r="X20" s="30">
        <f>(N20+P20)*'1. Parametros y Tarifas'!$B$6</f>
        <v/>
      </c>
      <c r="Y20" s="30">
        <f>(N20+P20+X20)*$B$8</f>
        <v/>
      </c>
    </row>
    <row r="21" ht="20" customHeight="1">
      <c r="A21" s="35" t="inlineStr"/>
      <c r="B21" s="35" t="inlineStr"/>
      <c r="C21" s="3" t="inlineStr"/>
      <c r="D21" s="39" t="inlineStr"/>
      <c r="E21" s="40" t="inlineStr"/>
      <c r="F21" s="41" t="inlineStr"/>
      <c r="G21" s="42" t="inlineStr"/>
      <c r="H21" s="43" t="inlineStr"/>
      <c r="I21" s="36">
        <f>D21*E21</f>
        <v/>
      </c>
      <c r="J21" s="37">
        <f>D21*F21</f>
        <v/>
      </c>
      <c r="K21" s="38">
        <f>D21*G21</f>
        <v/>
      </c>
      <c r="L21" s="36">
        <f>IFERROR(IF($B$7="Peso", J21/SUM($J$12:$J$26)*$B$4, IF($B$7="Volumen", K21/SUM($K$12:$K$26)*$B$4, I21/SUM($I$12:$I$26)*$B$4)), 0)</f>
        <v/>
      </c>
      <c r="M21" s="36">
        <f>IFERROR(I21/SUM($I$12:$I$26)*$B$5, 0)</f>
        <v/>
      </c>
      <c r="N21" s="36">
        <f>I21+L21+M21</f>
        <v/>
      </c>
      <c r="O21" s="36">
        <f>IFERROR(N21/D21, 0)</f>
        <v/>
      </c>
      <c r="P21" s="36">
        <f>N21*H21</f>
        <v/>
      </c>
      <c r="Q21" s="36">
        <f>IFERROR(I21/SUM($I$12:$I$26)*$B$6, 0)</f>
        <v/>
      </c>
      <c r="R21" s="36">
        <f>N21+P21+Q21</f>
        <v/>
      </c>
      <c r="S21" s="33">
        <f>IFERROR(R21/D21, 0)</f>
        <v/>
      </c>
      <c r="T21" s="43" t="inlineStr"/>
      <c r="U21" s="33">
        <f>IFERROR(S21/(1-T21), 0)</f>
        <v/>
      </c>
      <c r="V21" s="34">
        <f>U21*$B$9</f>
        <v/>
      </c>
      <c r="W21" s="36">
        <f>(U21-S21)*D21</f>
        <v/>
      </c>
      <c r="X21" s="36">
        <f>(N21+P21)*'1. Parametros y Tarifas'!$B$6</f>
        <v/>
      </c>
      <c r="Y21" s="36">
        <f>(N21+P21+X21)*$B$8</f>
        <v/>
      </c>
    </row>
    <row r="22" ht="20" customHeight="1">
      <c r="A22" s="23" t="inlineStr"/>
      <c r="B22" s="23" t="inlineStr"/>
      <c r="C22" s="24" t="inlineStr"/>
      <c r="D22" s="44" t="inlineStr"/>
      <c r="E22" s="45" t="inlineStr"/>
      <c r="F22" s="46" t="inlineStr"/>
      <c r="G22" s="47" t="inlineStr"/>
      <c r="H22" s="48" t="inlineStr"/>
      <c r="I22" s="30">
        <f>D22*E22</f>
        <v/>
      </c>
      <c r="J22" s="31">
        <f>D22*F22</f>
        <v/>
      </c>
      <c r="K22" s="32">
        <f>D22*G22</f>
        <v/>
      </c>
      <c r="L22" s="30">
        <f>IFERROR(IF($B$7="Peso", J22/SUM($J$12:$J$26)*$B$4, IF($B$7="Volumen", K22/SUM($K$12:$K$26)*$B$4, I22/SUM($I$12:$I$26)*$B$4)), 0)</f>
        <v/>
      </c>
      <c r="M22" s="30">
        <f>IFERROR(I22/SUM($I$12:$I$26)*$B$5, 0)</f>
        <v/>
      </c>
      <c r="N22" s="30">
        <f>I22+L22+M22</f>
        <v/>
      </c>
      <c r="O22" s="30">
        <f>IFERROR(N22/D22, 0)</f>
        <v/>
      </c>
      <c r="P22" s="30">
        <f>N22*H22</f>
        <v/>
      </c>
      <c r="Q22" s="30">
        <f>IFERROR(I22/SUM($I$12:$I$26)*$B$6, 0)</f>
        <v/>
      </c>
      <c r="R22" s="30">
        <f>N22+P22+Q22</f>
        <v/>
      </c>
      <c r="S22" s="33">
        <f>IFERROR(R22/D22, 0)</f>
        <v/>
      </c>
      <c r="T22" s="48" t="inlineStr"/>
      <c r="U22" s="33">
        <f>IFERROR(S22/(1-T22), 0)</f>
        <v/>
      </c>
      <c r="V22" s="34">
        <f>U22*$B$9</f>
        <v/>
      </c>
      <c r="W22" s="30">
        <f>(U22-S22)*D22</f>
        <v/>
      </c>
      <c r="X22" s="30">
        <f>(N22+P22)*'1. Parametros y Tarifas'!$B$6</f>
        <v/>
      </c>
      <c r="Y22" s="30">
        <f>(N22+P22+X22)*$B$8</f>
        <v/>
      </c>
    </row>
    <row r="23" ht="20" customHeight="1">
      <c r="A23" s="35" t="inlineStr"/>
      <c r="B23" s="35" t="inlineStr"/>
      <c r="C23" s="3" t="inlineStr"/>
      <c r="D23" s="39" t="inlineStr"/>
      <c r="E23" s="40" t="inlineStr"/>
      <c r="F23" s="41" t="inlineStr"/>
      <c r="G23" s="42" t="inlineStr"/>
      <c r="H23" s="43" t="inlineStr"/>
      <c r="I23" s="36">
        <f>D23*E23</f>
        <v/>
      </c>
      <c r="J23" s="37">
        <f>D23*F23</f>
        <v/>
      </c>
      <c r="K23" s="38">
        <f>D23*G23</f>
        <v/>
      </c>
      <c r="L23" s="36">
        <f>IFERROR(IF($B$7="Peso", J23/SUM($J$12:$J$26)*$B$4, IF($B$7="Volumen", K23/SUM($K$12:$K$26)*$B$4, I23/SUM($I$12:$I$26)*$B$4)), 0)</f>
        <v/>
      </c>
      <c r="M23" s="36">
        <f>IFERROR(I23/SUM($I$12:$I$26)*$B$5, 0)</f>
        <v/>
      </c>
      <c r="N23" s="36">
        <f>I23+L23+M23</f>
        <v/>
      </c>
      <c r="O23" s="36">
        <f>IFERROR(N23/D23, 0)</f>
        <v/>
      </c>
      <c r="P23" s="36">
        <f>N23*H23</f>
        <v/>
      </c>
      <c r="Q23" s="36">
        <f>IFERROR(I23/SUM($I$12:$I$26)*$B$6, 0)</f>
        <v/>
      </c>
      <c r="R23" s="36">
        <f>N23+P23+Q23</f>
        <v/>
      </c>
      <c r="S23" s="33">
        <f>IFERROR(R23/D23, 0)</f>
        <v/>
      </c>
      <c r="T23" s="43" t="inlineStr"/>
      <c r="U23" s="33">
        <f>IFERROR(S23/(1-T23), 0)</f>
        <v/>
      </c>
      <c r="V23" s="34">
        <f>U23*$B$9</f>
        <v/>
      </c>
      <c r="W23" s="36">
        <f>(U23-S23)*D23</f>
        <v/>
      </c>
      <c r="X23" s="36">
        <f>(N23+P23)*'1. Parametros y Tarifas'!$B$6</f>
        <v/>
      </c>
      <c r="Y23" s="36">
        <f>(N23+P23+X23)*$B$8</f>
        <v/>
      </c>
    </row>
    <row r="24" ht="20" customHeight="1">
      <c r="A24" s="23" t="inlineStr"/>
      <c r="B24" s="23" t="inlineStr"/>
      <c r="C24" s="24" t="inlineStr"/>
      <c r="D24" s="44" t="inlineStr"/>
      <c r="E24" s="45" t="inlineStr"/>
      <c r="F24" s="46" t="inlineStr"/>
      <c r="G24" s="47" t="inlineStr"/>
      <c r="H24" s="48" t="inlineStr"/>
      <c r="I24" s="30">
        <f>D24*E24</f>
        <v/>
      </c>
      <c r="J24" s="31">
        <f>D24*F24</f>
        <v/>
      </c>
      <c r="K24" s="32">
        <f>D24*G24</f>
        <v/>
      </c>
      <c r="L24" s="30">
        <f>IFERROR(IF($B$7="Peso", J24/SUM($J$12:$J$26)*$B$4, IF($B$7="Volumen", K24/SUM($K$12:$K$26)*$B$4, I24/SUM($I$12:$I$26)*$B$4)), 0)</f>
        <v/>
      </c>
      <c r="M24" s="30">
        <f>IFERROR(I24/SUM($I$12:$I$26)*$B$5, 0)</f>
        <v/>
      </c>
      <c r="N24" s="30">
        <f>I24+L24+M24</f>
        <v/>
      </c>
      <c r="O24" s="30">
        <f>IFERROR(N24/D24, 0)</f>
        <v/>
      </c>
      <c r="P24" s="30">
        <f>N24*H24</f>
        <v/>
      </c>
      <c r="Q24" s="30">
        <f>IFERROR(I24/SUM($I$12:$I$26)*$B$6, 0)</f>
        <v/>
      </c>
      <c r="R24" s="30">
        <f>N24+P24+Q24</f>
        <v/>
      </c>
      <c r="S24" s="33">
        <f>IFERROR(R24/D24, 0)</f>
        <v/>
      </c>
      <c r="T24" s="48" t="inlineStr"/>
      <c r="U24" s="33">
        <f>IFERROR(S24/(1-T24), 0)</f>
        <v/>
      </c>
      <c r="V24" s="34">
        <f>U24*$B$9</f>
        <v/>
      </c>
      <c r="W24" s="30">
        <f>(U24-S24)*D24</f>
        <v/>
      </c>
      <c r="X24" s="30">
        <f>(N24+P24)*'1. Parametros y Tarifas'!$B$6</f>
        <v/>
      </c>
      <c r="Y24" s="30">
        <f>(N24+P24+X24)*$B$8</f>
        <v/>
      </c>
    </row>
    <row r="25" ht="20" customHeight="1">
      <c r="A25" s="35" t="inlineStr"/>
      <c r="B25" s="35" t="inlineStr"/>
      <c r="C25" s="3" t="inlineStr"/>
      <c r="D25" s="39" t="inlineStr"/>
      <c r="E25" s="40" t="inlineStr"/>
      <c r="F25" s="41" t="inlineStr"/>
      <c r="G25" s="42" t="inlineStr"/>
      <c r="H25" s="43" t="inlineStr"/>
      <c r="I25" s="36">
        <f>D25*E25</f>
        <v/>
      </c>
      <c r="J25" s="37">
        <f>D25*F25</f>
        <v/>
      </c>
      <c r="K25" s="38">
        <f>D25*G25</f>
        <v/>
      </c>
      <c r="L25" s="36">
        <f>IFERROR(IF($B$7="Peso", J25/SUM($J$12:$J$26)*$B$4, IF($B$7="Volumen", K25/SUM($K$12:$K$26)*$B$4, I25/SUM($I$12:$I$26)*$B$4)), 0)</f>
        <v/>
      </c>
      <c r="M25" s="36">
        <f>IFERROR(I25/SUM($I$12:$I$26)*$B$5, 0)</f>
        <v/>
      </c>
      <c r="N25" s="36">
        <f>I25+L25+M25</f>
        <v/>
      </c>
      <c r="O25" s="36">
        <f>IFERROR(N25/D25, 0)</f>
        <v/>
      </c>
      <c r="P25" s="36">
        <f>N25*H25</f>
        <v/>
      </c>
      <c r="Q25" s="36">
        <f>IFERROR(I25/SUM($I$12:$I$26)*$B$6, 0)</f>
        <v/>
      </c>
      <c r="R25" s="36">
        <f>N25+P25+Q25</f>
        <v/>
      </c>
      <c r="S25" s="33">
        <f>IFERROR(R25/D25, 0)</f>
        <v/>
      </c>
      <c r="T25" s="43" t="inlineStr"/>
      <c r="U25" s="33">
        <f>IFERROR(S25/(1-T25), 0)</f>
        <v/>
      </c>
      <c r="V25" s="34">
        <f>U25*$B$9</f>
        <v/>
      </c>
      <c r="W25" s="36">
        <f>(U25-S25)*D25</f>
        <v/>
      </c>
      <c r="X25" s="36">
        <f>(N25+P25)*'1. Parametros y Tarifas'!$B$6</f>
        <v/>
      </c>
      <c r="Y25" s="36">
        <f>(N25+P25+X25)*$B$8</f>
        <v/>
      </c>
    </row>
    <row r="26" ht="20" customHeight="1">
      <c r="A26" s="23" t="inlineStr"/>
      <c r="B26" s="23" t="inlineStr"/>
      <c r="C26" s="24" t="inlineStr"/>
      <c r="D26" s="44" t="inlineStr"/>
      <c r="E26" s="45" t="inlineStr"/>
      <c r="F26" s="46" t="inlineStr"/>
      <c r="G26" s="47" t="inlineStr"/>
      <c r="H26" s="48" t="inlineStr"/>
      <c r="I26" s="30">
        <f>D26*E26</f>
        <v/>
      </c>
      <c r="J26" s="31">
        <f>D26*F26</f>
        <v/>
      </c>
      <c r="K26" s="32">
        <f>D26*G26</f>
        <v/>
      </c>
      <c r="L26" s="30">
        <f>IFERROR(IF($B$7="Peso", J26/SUM($J$12:$J$26)*$B$4, IF($B$7="Volumen", K26/SUM($K$12:$K$26)*$B$4, I26/SUM($I$12:$I$26)*$B$4)), 0)</f>
        <v/>
      </c>
      <c r="M26" s="30">
        <f>IFERROR(I26/SUM($I$12:$I$26)*$B$5, 0)</f>
        <v/>
      </c>
      <c r="N26" s="30">
        <f>I26+L26+M26</f>
        <v/>
      </c>
      <c r="O26" s="30">
        <f>IFERROR(N26/D26, 0)</f>
        <v/>
      </c>
      <c r="P26" s="30">
        <f>N26*H26</f>
        <v/>
      </c>
      <c r="Q26" s="30">
        <f>IFERROR(I26/SUM($I$12:$I$26)*$B$6, 0)</f>
        <v/>
      </c>
      <c r="R26" s="30">
        <f>N26+P26+Q26</f>
        <v/>
      </c>
      <c r="S26" s="33">
        <f>IFERROR(R26/D26, 0)</f>
        <v/>
      </c>
      <c r="T26" s="48" t="inlineStr"/>
      <c r="U26" s="33">
        <f>IFERROR(S26/(1-T26), 0)</f>
        <v/>
      </c>
      <c r="V26" s="34">
        <f>U26*$B$9</f>
        <v/>
      </c>
      <c r="W26" s="30">
        <f>(U26-S26)*D26</f>
        <v/>
      </c>
      <c r="X26" s="30">
        <f>(N26+P26)*'1. Parametros y Tarifas'!$B$6</f>
        <v/>
      </c>
      <c r="Y26" s="30">
        <f>(N26+P26+X26)*$B$8</f>
        <v/>
      </c>
    </row>
    <row r="27" ht="22" customHeight="1">
      <c r="A27" s="49" t="inlineStr">
        <is>
          <t>TOTALES</t>
        </is>
      </c>
      <c r="B27" s="50" t="n"/>
      <c r="C27" s="50" t="n"/>
      <c r="D27" s="51">
        <f>SUM(D12:D26)</f>
        <v/>
      </c>
      <c r="E27" s="50" t="n"/>
      <c r="F27" s="50" t="n"/>
      <c r="G27" s="50" t="n"/>
      <c r="H27" s="50" t="n"/>
      <c r="I27" s="52">
        <f>SUM(I12:I26)</f>
        <v/>
      </c>
      <c r="J27" s="53">
        <f>SUM(J12:J26)</f>
        <v/>
      </c>
      <c r="K27" s="54">
        <f>SUM(K12:K26)</f>
        <v/>
      </c>
      <c r="L27" s="52">
        <f>SUM(L12:L26)</f>
        <v/>
      </c>
      <c r="M27" s="52">
        <f>SUM(M12:M26)</f>
        <v/>
      </c>
      <c r="N27" s="52">
        <f>SUM(N12:N26)</f>
        <v/>
      </c>
      <c r="O27" s="50" t="n"/>
      <c r="P27" s="52">
        <f>SUM(P12:P26)</f>
        <v/>
      </c>
      <c r="Q27" s="52">
        <f>SUM(Q12:Q26)</f>
        <v/>
      </c>
      <c r="R27" s="52">
        <f>SUM(R12:R26)</f>
        <v/>
      </c>
      <c r="S27" s="50" t="n"/>
      <c r="T27" s="50" t="n"/>
      <c r="U27" s="50" t="n"/>
      <c r="V27" s="50" t="n"/>
      <c r="W27" s="52">
        <f>SUM(W12:W26)</f>
        <v/>
      </c>
      <c r="X27" s="52">
        <f>SUM(X12:X26)</f>
        <v/>
      </c>
      <c r="Y27" s="52">
        <f>SUM(Y12:Y26)</f>
        <v/>
      </c>
    </row>
  </sheetData>
  <mergeCells count="2">
    <mergeCell ref="A3:D3"/>
    <mergeCell ref="A1:Y1"/>
  </mergeCells>
  <dataValidations count="1">
    <dataValidation sqref="B7" showDropDown="0" showInputMessage="0" showErrorMessage="0" allowBlank="1" type="list">
      <formula1>"Peso,Volumen,Valor FOB"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2026-06-16T22:53:02Z</dcterms:created>
  <dcterms:modified xmlns:dcterms="http://purl.org/dc/terms/" xmlns:xsi="http://www.w3.org/2001/XMLSchema-instance" xsi:type="dcterms:W3CDTF">2026-06-16T22:53:02Z</dcterms:modified>
</cp:coreProperties>
</file>